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esh Ghadi\"/>
    </mc:Choice>
  </mc:AlternateContent>
  <xr:revisionPtr revIDLastSave="0" documentId="13_ncr:1_{EB1938FC-9A03-4F20-8A39-CBDCA53AFA9C}" xr6:coauthVersionLast="47" xr6:coauthVersionMax="47" xr10:uidLastSave="{00000000-0000-0000-0000-000000000000}"/>
  <bookViews>
    <workbookView xWindow="-120" yWindow="-120" windowWidth="29040" windowHeight="15720" activeTab="2" xr2:uid="{52C3ABC6-9341-4829-90AE-5B5263F85E0F}"/>
  </bookViews>
  <sheets>
    <sheet name="Sheet3" sheetId="3" r:id="rId1"/>
    <sheet name="तालुकानिहाय इ केवायसी स्थिती" sheetId="1" r:id="rId2"/>
    <sheet name="शिधापत्रिका स्थिती 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<sst xmlns="http://schemas.openxmlformats.org/spreadsheetml/2006/main" count="58" uniqueCount="47">
  <si>
    <t>तालुका</t>
  </si>
  <si>
    <t>लाभार्थी संख्‍या</t>
  </si>
  <si>
    <t>अदयाप ई-केवायसी न झालेल्‍या लाभार्थ्‍यांची संख्‍या</t>
  </si>
  <si>
    <t>ई केवायसी न झालेल्‍या लाभार्थ्‍यांची    टक्‍केवारी</t>
  </si>
  <si>
    <t xml:space="preserve">  ई- केवायसी   झालेल्या लाभार्थीची संख्‍या</t>
  </si>
  <si>
    <t>ई-केवायसी    झालेल्‍या लाभार्थ्‍यांची   टक्‍केवारी</t>
  </si>
  <si>
    <t>सावंतवाडी</t>
  </si>
  <si>
    <t>वेंगुर्ला</t>
  </si>
  <si>
    <t>मालवण</t>
  </si>
  <si>
    <t>कणकवली</t>
  </si>
  <si>
    <t>देवगड</t>
  </si>
  <si>
    <t>वैभववाडी</t>
  </si>
  <si>
    <t>दोडामार्ग</t>
  </si>
  <si>
    <t>कुडाळ</t>
  </si>
  <si>
    <t>Total</t>
  </si>
  <si>
    <t xml:space="preserve">मेन पेजवरील दुरुस्‍ती </t>
  </si>
  <si>
    <t xml:space="preserve">एकूण पात्र लाभार्थी </t>
  </si>
  <si>
    <t>प्रलंबित</t>
  </si>
  <si>
    <t>इ केवायसी झालेले</t>
  </si>
  <si>
    <t>S. No.</t>
  </si>
  <si>
    <t>TFSO</t>
  </si>
  <si>
    <t>AAY [2]</t>
  </si>
  <si>
    <t>APL White</t>
  </si>
  <si>
    <t xml:space="preserve">PHH </t>
  </si>
  <si>
    <t>NPH</t>
  </si>
  <si>
    <t xml:space="preserve"> Total</t>
  </si>
  <si>
    <t>RCs</t>
  </si>
  <si>
    <t>Units</t>
  </si>
  <si>
    <t xml:space="preserve">VENGURLA </t>
  </si>
  <si>
    <t>SAWANTWADI</t>
  </si>
  <si>
    <t xml:space="preserve"> KUDAL</t>
  </si>
  <si>
    <t xml:space="preserve"> KANKAVLI </t>
  </si>
  <si>
    <t>MALVAN</t>
  </si>
  <si>
    <t xml:space="preserve"> VAIBHAVWADI</t>
  </si>
  <si>
    <t>DEVGAD</t>
  </si>
  <si>
    <t>DODAMARG</t>
  </si>
  <si>
    <t xml:space="preserve">DFSO For Selection Total </t>
  </si>
  <si>
    <t/>
  </si>
  <si>
    <t>Percentum</t>
  </si>
  <si>
    <t>9.00 %</t>
  </si>
  <si>
    <t>8.64 %</t>
  </si>
  <si>
    <t>9.41 %</t>
  </si>
  <si>
    <t>8.10 %</t>
  </si>
  <si>
    <t>65.15 %</t>
  </si>
  <si>
    <t>69.82 %</t>
  </si>
  <si>
    <t>16.44 %</t>
  </si>
  <si>
    <t>13.44 %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</si>
</sst>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6"/>
      <color rgb="FF000000"/>
      <name val="Mangal"/>
      <family val="1"/>
    </font>
    <font>
      <b/>
      <sz val="28"/>
      <name val="Kokila"/>
      <family val="2"/>
    </font>
    <font>
      <b/>
      <sz val="12"/>
      <color rgb="FF000000"/>
      <name val="Mangal"/>
      <family val="1"/>
    </font>
    <font>
      <sz val="20"/>
      <color theme="1"/>
      <name val="Calibri"/>
      <family val="2"/>
      <scheme val="minor"/>
    </font>
    <font>
      <sz val="22"/>
      <color rgb="FF000000"/>
      <name val="Calibri"/>
      <family val="2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0" fillId="0" borderId="0" xfId="0" applyFont="1"/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2" fontId="5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0" fillId="0" borderId="3" xfId="0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8783-2D13-46E3-B83A-DF878349F6EE}">
  <dimension ref="B2:D6"/>
  <sheetViews>
    <sheetView workbookViewId="0">
      <selection activeCell="H16" sqref="H16"/>
    </sheetView>
  </sheetViews>
  <sheetFormatPr defaultRowHeight="15" x14ac:dyDescent="0.25"/>
  <cols>
    <col min="3" max="3" width="16.28515625" customWidth="1"/>
    <col min="4" max="4" width="22.7109375" customWidth="1"/>
  </cols>
  <sheetData>
    <row r="2" spans="2:4" ht="38.25" customHeight="1" x14ac:dyDescent="0.25">
      <c r="B2" s="25" t="s">
        <v>15</v>
      </c>
      <c r="C2" s="25"/>
      <c r="D2" s="25"/>
    </row>
    <row r="4" spans="2:4" ht="28.5" x14ac:dyDescent="0.25">
      <c r="B4" s="26" t="s">
        <v>16</v>
      </c>
      <c r="C4" s="27"/>
      <c r="D4" s="8">
        <v>645072</v>
      </c>
    </row>
    <row r="5" spans="2:4" ht="28.5" x14ac:dyDescent="0.25">
      <c r="B5" s="26" t="s">
        <v>18</v>
      </c>
      <c r="C5" s="27"/>
      <c r="D5" s="10">
        <v>508480</v>
      </c>
    </row>
    <row r="6" spans="2:4" ht="28.5" x14ac:dyDescent="0.25">
      <c r="B6" s="26" t="s">
        <v>17</v>
      </c>
      <c r="C6" s="27"/>
      <c r="D6" s="8">
        <v>136592</v>
      </c>
    </row>
  </sheetData>
  <mergeCells count="4">
    <mergeCell ref="B2:D2"/>
    <mergeCell ref="B4:C4"/>
    <mergeCell ref="B5:C5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00A5-C72E-4D8C-88E6-258ACAF8A491}">
  <dimension ref="A5:L29"/>
  <sheetViews>
    <sheetView workbookViewId="0">
      <selection activeCell="C3" sqref="C3"/>
    </sheetView>
  </sheetViews>
  <sheetFormatPr defaultRowHeight="15" x14ac:dyDescent="0.25"/>
  <cols>
    <col min="1" max="1" width="5.42578125" customWidth="1"/>
    <col min="2" max="2" width="18" customWidth="1"/>
    <col min="3" max="3" width="16.5703125" customWidth="1"/>
    <col min="4" max="4" width="15.28515625" customWidth="1"/>
    <col min="5" max="5" width="13.85546875" customWidth="1"/>
    <col min="6" max="6" width="23.140625" customWidth="1"/>
    <col min="7" max="7" width="20.5703125" customWidth="1"/>
    <col min="8" max="8" width="16.85546875" customWidth="1"/>
    <col min="9" max="9" width="16" customWidth="1"/>
    <col min="10" max="10" width="15" customWidth="1"/>
    <col min="11" max="11" width="14.140625" customWidth="1"/>
    <col min="12" max="12" width="14" style="11" customWidth="1"/>
    <col min="13" max="13" width="21.5703125" customWidth="1"/>
    <col min="14" max="14" width="14.85546875" customWidth="1"/>
  </cols>
  <sheetData>
    <row r="5" spans="1:11" ht="36" x14ac:dyDescent="0.25">
      <c r="A5" s="12"/>
      <c r="B5" s="29" t="s">
        <v>0</v>
      </c>
      <c r="C5" s="29" t="s">
        <v>1</v>
      </c>
      <c r="D5" s="28" t="s">
        <v>2</v>
      </c>
      <c r="E5" s="28" t="s">
        <v>3</v>
      </c>
      <c r="F5" s="28" t="s">
        <v>4</v>
      </c>
      <c r="G5" s="28" t="s">
        <v>5</v>
      </c>
      <c r="H5" s="19"/>
      <c r="I5" s="19"/>
      <c r="J5" s="19"/>
    </row>
    <row r="6" spans="1:11" ht="40.5" customHeight="1" x14ac:dyDescent="0.25">
      <c r="A6" s="13"/>
      <c r="B6" s="29"/>
      <c r="C6" s="29"/>
      <c r="D6" s="28"/>
      <c r="E6" s="28"/>
      <c r="F6" s="28"/>
      <c r="G6" s="28"/>
      <c r="H6" s="20"/>
      <c r="I6" s="20"/>
      <c r="J6" s="20"/>
    </row>
    <row r="7" spans="1:11" ht="26.25" customHeight="1" x14ac:dyDescent="0.25">
      <c r="A7" s="13"/>
      <c r="B7" s="2" t="s">
        <v>6</v>
      </c>
      <c r="C7" s="3">
        <v>105921</v>
      </c>
      <c r="D7" s="4">
        <v>17862</v>
      </c>
      <c r="E7" s="5">
        <v>16.863511484974651</v>
      </c>
      <c r="F7" s="6">
        <v>88059</v>
      </c>
      <c r="G7" s="14">
        <v>83.136488515025349</v>
      </c>
      <c r="H7" s="21"/>
      <c r="I7" s="21"/>
      <c r="J7" s="21"/>
    </row>
    <row r="8" spans="1:11" ht="33" x14ac:dyDescent="0.25">
      <c r="A8" s="1"/>
      <c r="B8" s="2" t="s">
        <v>7</v>
      </c>
      <c r="C8" s="3">
        <v>65685</v>
      </c>
      <c r="D8" s="4">
        <v>11231</v>
      </c>
      <c r="E8" s="5">
        <v>17.098272056024967</v>
      </c>
      <c r="F8" s="6">
        <v>54454</v>
      </c>
      <c r="G8" s="14">
        <v>82.901727943975033</v>
      </c>
      <c r="H8" s="22"/>
      <c r="I8" s="23"/>
      <c r="J8" s="24"/>
    </row>
    <row r="9" spans="1:11" ht="28.5" x14ac:dyDescent="0.25">
      <c r="A9" s="7"/>
      <c r="B9" s="2" t="s">
        <v>8</v>
      </c>
      <c r="C9" s="3">
        <v>83698</v>
      </c>
      <c r="D9" s="4">
        <v>15389</v>
      </c>
      <c r="E9" s="5">
        <v>18.38634137016416</v>
      </c>
      <c r="F9" s="6">
        <v>68309</v>
      </c>
      <c r="G9" s="14">
        <v>81.61365862983584</v>
      </c>
      <c r="H9" s="22"/>
      <c r="I9" s="23"/>
      <c r="J9" s="24"/>
    </row>
    <row r="10" spans="1:11" ht="28.5" x14ac:dyDescent="0.25">
      <c r="A10" s="7"/>
      <c r="B10" s="2" t="s">
        <v>9</v>
      </c>
      <c r="C10" s="3">
        <v>103008</v>
      </c>
      <c r="D10" s="4">
        <v>21749</v>
      </c>
      <c r="E10" s="5">
        <v>21.113894066480274</v>
      </c>
      <c r="F10" s="6">
        <v>81259</v>
      </c>
      <c r="G10" s="14">
        <v>78.88610593351973</v>
      </c>
      <c r="H10" s="22"/>
      <c r="I10" s="23"/>
      <c r="J10" s="24"/>
    </row>
    <row r="11" spans="1:11" ht="28.5" x14ac:dyDescent="0.25">
      <c r="A11" s="7"/>
      <c r="B11" s="2" t="s">
        <v>10</v>
      </c>
      <c r="C11" s="3">
        <v>94612</v>
      </c>
      <c r="D11" s="4">
        <v>22342</v>
      </c>
      <c r="E11" s="5">
        <v>23.614340675601404</v>
      </c>
      <c r="F11" s="6">
        <v>72270</v>
      </c>
      <c r="G11" s="14">
        <v>76.385659324398603</v>
      </c>
      <c r="H11" s="22"/>
      <c r="I11" s="23"/>
      <c r="J11" s="24"/>
    </row>
    <row r="12" spans="1:11" ht="28.5" x14ac:dyDescent="0.25">
      <c r="A12" s="7"/>
      <c r="B12" s="2" t="s">
        <v>11</v>
      </c>
      <c r="C12" s="3">
        <v>37457</v>
      </c>
      <c r="D12" s="4">
        <v>8999</v>
      </c>
      <c r="E12" s="5">
        <v>24.024881864538003</v>
      </c>
      <c r="F12" s="6">
        <v>28458</v>
      </c>
      <c r="G12" s="14">
        <v>75.975118135461997</v>
      </c>
      <c r="H12" s="22"/>
      <c r="I12" s="23"/>
      <c r="J12" s="24"/>
    </row>
    <row r="13" spans="1:11" ht="28.5" x14ac:dyDescent="0.25">
      <c r="A13" s="7"/>
      <c r="B13" s="2" t="s">
        <v>12</v>
      </c>
      <c r="C13" s="3">
        <v>34102</v>
      </c>
      <c r="D13" s="4">
        <v>8239</v>
      </c>
      <c r="E13" s="5">
        <v>24.159873321212832</v>
      </c>
      <c r="F13" s="6">
        <v>25863</v>
      </c>
      <c r="G13" s="14">
        <v>75.840126678787172</v>
      </c>
      <c r="H13" s="22"/>
      <c r="I13" s="23"/>
      <c r="J13" s="24"/>
    </row>
    <row r="14" spans="1:11" ht="37.5" customHeight="1" x14ac:dyDescent="0.25">
      <c r="A14" s="7"/>
      <c r="B14" s="2" t="s">
        <v>13</v>
      </c>
      <c r="C14" s="3">
        <v>120589</v>
      </c>
      <c r="D14" s="4">
        <v>30781</v>
      </c>
      <c r="E14" s="5">
        <v>25.525545447760571</v>
      </c>
      <c r="F14" s="6">
        <v>89808</v>
      </c>
      <c r="G14" s="14">
        <v>74.474454552239422</v>
      </c>
      <c r="H14" s="22"/>
      <c r="I14" s="23"/>
      <c r="J14" s="24"/>
    </row>
    <row r="15" spans="1:11" ht="28.5" x14ac:dyDescent="0.25">
      <c r="A15" s="7"/>
      <c r="B15" s="4" t="s">
        <v>14</v>
      </c>
      <c r="C15" s="8">
        <f>SUM(C7:C14)</f>
        <v>645072</v>
      </c>
      <c r="D15" s="8">
        <v>136592</v>
      </c>
      <c r="E15" s="9">
        <v>21.17469057717588</v>
      </c>
      <c r="F15" s="10">
        <v>508480</v>
      </c>
      <c r="G15" s="15">
        <v>78.82530942282412</v>
      </c>
      <c r="H15" s="22"/>
      <c r="I15" s="23"/>
      <c r="J15" s="24"/>
    </row>
    <row r="16" spans="1:11" ht="28.5" x14ac:dyDescent="0.25">
      <c r="A16" s="4"/>
      <c r="B16" s="4"/>
      <c r="C16" s="8"/>
      <c r="D16" s="8"/>
      <c r="E16" s="8"/>
      <c r="F16" s="8"/>
      <c r="G16" s="8"/>
      <c r="H16" s="16"/>
      <c r="I16" s="17"/>
      <c r="J16" s="16"/>
      <c r="K16" s="18"/>
    </row>
    <row r="29" ht="33.75" customHeight="1" x14ac:dyDescent="0.25"/>
  </sheetData>
  <mergeCells count="6">
    <mergeCell ref="E5:E6"/>
    <mergeCell ref="F5:F6"/>
    <mergeCell ref="G5:G6"/>
    <mergeCell ref="B5:B6"/>
    <mergeCell ref="C5:C6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C969-6905-4C58-945B-7DAA7EC1FE60}">
  <dimension ref="B3:O14"/>
  <sheetViews>
    <sheetView tabSelected="1" workbookViewId="0">
      <selection activeCell="I36" sqref="I36"/>
    </sheetView>
  </sheetViews>
  <sheetFormatPr defaultRowHeight="15" x14ac:dyDescent="0.25"/>
  <cols>
    <col min="4" max="4" width="30.85546875" customWidth="1"/>
  </cols>
  <sheetData>
    <row r="3" spans="2:15" x14ac:dyDescent="0.25">
      <c r="B3" t="s">
        <v>19</v>
      </c>
      <c r="D3" t="s">
        <v>20</v>
      </c>
      <c r="E3" s="30" t="s">
        <v>21</v>
      </c>
      <c r="F3" s="30"/>
      <c r="H3" s="30" t="s">
        <v>22</v>
      </c>
      <c r="I3" s="30"/>
      <c r="J3" s="30" t="s">
        <v>23</v>
      </c>
      <c r="K3" s="30"/>
      <c r="L3" s="30" t="s">
        <v>24</v>
      </c>
      <c r="M3" s="30"/>
      <c r="N3" s="30" t="s">
        <v>25</v>
      </c>
      <c r="O3" s="30"/>
    </row>
    <row r="4" spans="2:15" x14ac:dyDescent="0.25">
      <c r="E4" t="s">
        <v>26</v>
      </c>
      <c r="F4" t="s">
        <v>27</v>
      </c>
      <c r="H4" t="s">
        <v>26</v>
      </c>
      <c r="I4" t="s">
        <v>27</v>
      </c>
      <c r="J4" t="s">
        <v>26</v>
      </c>
      <c r="K4" t="s">
        <v>27</v>
      </c>
      <c r="L4" t="s">
        <v>26</v>
      </c>
      <c r="M4" t="s">
        <v>27</v>
      </c>
      <c r="N4" t="s">
        <v>26</v>
      </c>
      <c r="O4" t="s">
        <v>27</v>
      </c>
    </row>
    <row r="5" spans="2:15" x14ac:dyDescent="0.25">
      <c r="B5">
        <v>1</v>
      </c>
      <c r="D5" t="s">
        <v>28</v>
      </c>
      <c r="E5">
        <v>1756</v>
      </c>
      <c r="F5">
        <v>7346</v>
      </c>
      <c r="H5">
        <v>2272</v>
      </c>
      <c r="I5">
        <v>7509</v>
      </c>
      <c r="J5">
        <v>15906</v>
      </c>
      <c r="K5">
        <v>58339</v>
      </c>
      <c r="L5">
        <v>3947</v>
      </c>
      <c r="M5">
        <v>11273</v>
      </c>
      <c r="N5">
        <v>23881</v>
      </c>
      <c r="O5">
        <v>84467</v>
      </c>
    </row>
    <row r="6" spans="2:15" x14ac:dyDescent="0.25">
      <c r="B6">
        <v>2</v>
      </c>
      <c r="D6" t="s">
        <v>29</v>
      </c>
      <c r="E6">
        <v>3250</v>
      </c>
      <c r="F6">
        <v>11138</v>
      </c>
      <c r="H6">
        <v>3918</v>
      </c>
      <c r="I6">
        <v>13378</v>
      </c>
      <c r="J6">
        <v>24530</v>
      </c>
      <c r="K6">
        <v>94783</v>
      </c>
      <c r="L6">
        <v>6554</v>
      </c>
      <c r="M6">
        <v>19776</v>
      </c>
      <c r="N6">
        <v>38252</v>
      </c>
      <c r="O6">
        <v>139075</v>
      </c>
    </row>
    <row r="7" spans="2:15" x14ac:dyDescent="0.25">
      <c r="B7">
        <v>3</v>
      </c>
      <c r="D7" t="s">
        <v>30</v>
      </c>
      <c r="E7">
        <v>4974</v>
      </c>
      <c r="F7">
        <v>17039</v>
      </c>
      <c r="H7">
        <v>4611</v>
      </c>
      <c r="I7">
        <v>14731</v>
      </c>
      <c r="J7">
        <v>26937</v>
      </c>
      <c r="K7">
        <v>103550</v>
      </c>
      <c r="L7">
        <v>5183</v>
      </c>
      <c r="M7">
        <v>15005</v>
      </c>
      <c r="N7">
        <v>41708</v>
      </c>
      <c r="O7">
        <v>150333</v>
      </c>
    </row>
    <row r="8" spans="2:15" x14ac:dyDescent="0.25">
      <c r="B8">
        <v>4</v>
      </c>
      <c r="D8" t="s">
        <v>31</v>
      </c>
      <c r="E8">
        <v>4008</v>
      </c>
      <c r="F8">
        <v>13396</v>
      </c>
      <c r="H8">
        <v>4995</v>
      </c>
      <c r="I8">
        <v>13995</v>
      </c>
      <c r="J8">
        <v>23814</v>
      </c>
      <c r="K8">
        <v>89612</v>
      </c>
      <c r="L8">
        <v>6116</v>
      </c>
      <c r="M8">
        <v>17262</v>
      </c>
      <c r="N8">
        <v>38933</v>
      </c>
      <c r="O8">
        <v>134265</v>
      </c>
    </row>
    <row r="9" spans="2:15" x14ac:dyDescent="0.25">
      <c r="B9">
        <v>5</v>
      </c>
      <c r="D9" t="s">
        <v>32</v>
      </c>
      <c r="E9">
        <v>2792</v>
      </c>
      <c r="F9">
        <v>8913</v>
      </c>
      <c r="H9">
        <v>2716</v>
      </c>
      <c r="I9">
        <v>6711</v>
      </c>
      <c r="J9">
        <v>20300</v>
      </c>
      <c r="K9">
        <v>74785</v>
      </c>
      <c r="L9">
        <v>8455</v>
      </c>
      <c r="M9">
        <v>24825</v>
      </c>
      <c r="N9">
        <v>34263</v>
      </c>
      <c r="O9">
        <v>115234</v>
      </c>
    </row>
    <row r="10" spans="2:15" x14ac:dyDescent="0.25">
      <c r="B10">
        <v>6</v>
      </c>
      <c r="D10" t="s">
        <v>33</v>
      </c>
      <c r="E10">
        <v>1565</v>
      </c>
      <c r="F10">
        <v>5125</v>
      </c>
      <c r="H10">
        <v>666</v>
      </c>
      <c r="I10">
        <v>1935</v>
      </c>
      <c r="J10">
        <v>8432</v>
      </c>
      <c r="K10">
        <v>32332</v>
      </c>
      <c r="L10">
        <v>905</v>
      </c>
      <c r="M10">
        <v>1951</v>
      </c>
      <c r="N10">
        <v>11568</v>
      </c>
      <c r="O10">
        <v>41343</v>
      </c>
    </row>
    <row r="11" spans="2:15" x14ac:dyDescent="0.25">
      <c r="B11">
        <v>7</v>
      </c>
      <c r="D11" t="s">
        <v>34</v>
      </c>
      <c r="E11">
        <v>1518</v>
      </c>
      <c r="F11">
        <v>5721</v>
      </c>
      <c r="H11">
        <v>1591</v>
      </c>
      <c r="I11">
        <v>5203</v>
      </c>
      <c r="J11">
        <v>21305</v>
      </c>
      <c r="K11">
        <v>88891</v>
      </c>
      <c r="L11">
        <v>4200</v>
      </c>
      <c r="M11">
        <v>12428</v>
      </c>
      <c r="N11">
        <v>28614</v>
      </c>
      <c r="O11">
        <v>112243</v>
      </c>
    </row>
    <row r="12" spans="2:15" x14ac:dyDescent="0.25">
      <c r="B12">
        <v>8</v>
      </c>
      <c r="D12" t="s">
        <v>35</v>
      </c>
      <c r="E12">
        <v>827</v>
      </c>
      <c r="F12">
        <v>2373</v>
      </c>
      <c r="H12">
        <v>881</v>
      </c>
      <c r="I12">
        <v>3090</v>
      </c>
      <c r="J12">
        <v>8616</v>
      </c>
      <c r="K12">
        <v>31729</v>
      </c>
      <c r="L12">
        <v>2439</v>
      </c>
      <c r="M12">
        <v>7959</v>
      </c>
      <c r="N12">
        <v>12763</v>
      </c>
      <c r="O12">
        <v>45151</v>
      </c>
    </row>
    <row r="13" spans="2:15" x14ac:dyDescent="0.25">
      <c r="B13" t="s">
        <v>14</v>
      </c>
      <c r="D13" t="s">
        <v>36</v>
      </c>
      <c r="E13">
        <v>20690</v>
      </c>
      <c r="F13">
        <v>71051</v>
      </c>
      <c r="H13">
        <v>21650</v>
      </c>
      <c r="I13">
        <v>66552</v>
      </c>
      <c r="J13">
        <v>149840</v>
      </c>
      <c r="K13">
        <v>574021</v>
      </c>
      <c r="L13">
        <v>37799</v>
      </c>
      <c r="M13">
        <v>110479</v>
      </c>
      <c r="N13">
        <v>229982</v>
      </c>
      <c r="O13">
        <v>822111</v>
      </c>
    </row>
    <row r="14" spans="2:15" x14ac:dyDescent="0.25">
      <c r="B14" t="s">
        <v>37</v>
      </c>
      <c r="D14" t="s">
        <v>38</v>
      </c>
      <c r="E14" t="s">
        <v>39</v>
      </c>
      <c r="F14" t="s">
        <v>40</v>
      </c>
      <c r="H14" t="s">
        <v>41</v>
      </c>
      <c r="I14" t="s">
        <v>42</v>
      </c>
      <c r="J14" t="s">
        <v>43</v>
      </c>
      <c r="K14" t="s">
        <v>44</v>
      </c>
      <c r="L14" t="s">
        <v>45</v>
      </c>
      <c r="M14" t="s">
        <v>46</v>
      </c>
      <c r="N14" t="s">
        <v>37</v>
      </c>
      <c r="O14" t="s">
        <v>37</v>
      </c>
    </row>
  </sheetData>
  <mergeCells count="5">
    <mergeCell ref="J3:K3"/>
    <mergeCell ref="L3:M3"/>
    <mergeCell ref="N3:O3"/>
    <mergeCell ref="E3:F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तालुकानिहाय इ केवायसी स्थिती</vt:lpstr>
      <vt:lpstr>शिधापत्रिका स्थिती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Adesh Ghadi</dc:creator>
  <cp:lastModifiedBy>Adesh Ghadi</cp:lastModifiedBy>
  <dcterms:created xsi:type="dcterms:W3CDTF">2026-09-02T11:52:22Z</dcterms:created>
  <dcterms:modified xsi:type="dcterms:W3CDTF">2026-09-02T13:14:45Z</dcterms:modified>
</cp:coreProperties>
</file>